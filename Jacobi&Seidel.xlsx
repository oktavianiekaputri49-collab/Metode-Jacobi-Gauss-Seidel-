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CF7A71B6-9E6B-40AD-A775-BBFC35AA2E1A}" xr6:coauthVersionLast="47" xr6:coauthVersionMax="47" xr10:uidLastSave="{00000000-0000-0000-0000-000000000000}"/>
  <bookViews>
    <workbookView xWindow="-110" yWindow="-110" windowWidth="19420" windowHeight="10300" xr2:uid="{68A1F110-D216-4FB2-B9E0-7376F3804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D26" i="1"/>
  <c r="C26" i="1"/>
  <c r="B26" i="1"/>
  <c r="F29" i="1" l="1"/>
  <c r="H35" i="1" l="1"/>
  <c r="D30" i="1"/>
  <c r="D13" i="1"/>
  <c r="E13" i="1"/>
  <c r="C28" i="1"/>
  <c r="C9" i="1"/>
  <c r="C8" i="1"/>
  <c r="H8" i="1"/>
  <c r="G8" i="1"/>
  <c r="E8" i="1"/>
  <c r="B8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27" i="1"/>
  <c r="C27" i="1"/>
  <c r="D27" i="1"/>
  <c r="E27" i="1"/>
  <c r="F27" i="1"/>
  <c r="G27" i="1"/>
  <c r="H27" i="1"/>
  <c r="B28" i="1"/>
  <c r="D28" i="1"/>
  <c r="E28" i="1"/>
  <c r="F28" i="1"/>
  <c r="G28" i="1"/>
  <c r="H28" i="1"/>
  <c r="B29" i="1"/>
  <c r="C29" i="1"/>
  <c r="D29" i="1"/>
  <c r="E29" i="1"/>
  <c r="G29" i="1"/>
  <c r="H29" i="1"/>
  <c r="B30" i="1"/>
  <c r="C30" i="1"/>
  <c r="E30" i="1"/>
  <c r="F30" i="1"/>
  <c r="G30" i="1"/>
  <c r="H30" i="1"/>
  <c r="B31" i="1"/>
  <c r="C31" i="1"/>
  <c r="D31" i="1"/>
  <c r="E31" i="1"/>
  <c r="F31" i="1"/>
  <c r="G31" i="1"/>
  <c r="H31" i="1"/>
  <c r="H26" i="1"/>
  <c r="G26" i="1"/>
  <c r="E26" i="1"/>
  <c r="D8" i="1" l="1"/>
  <c r="B9" i="1" l="1"/>
  <c r="D9" i="1"/>
  <c r="G9" i="1" s="1"/>
  <c r="F8" i="1"/>
  <c r="F9" i="1" l="1"/>
  <c r="B10" i="1"/>
  <c r="E9" i="1"/>
  <c r="H9" i="1" s="1"/>
  <c r="C10" i="1"/>
  <c r="D10" i="1"/>
  <c r="G10" i="1" s="1"/>
  <c r="F10" i="1" l="1"/>
  <c r="B11" i="1"/>
  <c r="E10" i="1"/>
  <c r="H10" i="1" s="1"/>
  <c r="C11" i="1"/>
  <c r="D11" i="1"/>
  <c r="G11" i="1" s="1"/>
  <c r="F11" i="1" l="1"/>
  <c r="B12" i="1"/>
  <c r="E11" i="1"/>
  <c r="H11" i="1" s="1"/>
  <c r="C12" i="1"/>
  <c r="D12" i="1"/>
  <c r="G12" i="1" s="1"/>
  <c r="F12" i="1" l="1"/>
  <c r="B13" i="1"/>
  <c r="E12" i="1"/>
  <c r="H12" i="1" s="1"/>
  <c r="C13" i="1"/>
  <c r="G13" i="1"/>
  <c r="F13" i="1" l="1"/>
  <c r="B14" i="1"/>
  <c r="H13" i="1"/>
  <c r="C14" i="1"/>
  <c r="D14" i="1"/>
  <c r="G14" i="1" s="1"/>
  <c r="F14" i="1" l="1"/>
  <c r="B15" i="1"/>
  <c r="E14" i="1"/>
  <c r="H14" i="1" s="1"/>
  <c r="C15" i="1"/>
  <c r="D15" i="1"/>
  <c r="G15" i="1" s="1"/>
  <c r="F15" i="1" l="1"/>
  <c r="B16" i="1"/>
  <c r="E15" i="1"/>
  <c r="H15" i="1" s="1"/>
  <c r="C16" i="1"/>
  <c r="D16" i="1"/>
  <c r="G16" i="1" s="1"/>
  <c r="F16" i="1" l="1"/>
  <c r="B17" i="1"/>
  <c r="E16" i="1"/>
  <c r="H16" i="1" s="1"/>
  <c r="C17" i="1"/>
  <c r="D17" i="1"/>
  <c r="G17" i="1" s="1"/>
  <c r="F17" i="1" l="1"/>
  <c r="B18" i="1"/>
  <c r="E17" i="1"/>
  <c r="H17" i="1" s="1"/>
  <c r="C18" i="1"/>
  <c r="D18" i="1"/>
  <c r="G18" i="1" s="1"/>
  <c r="F18" i="1" l="1"/>
  <c r="B19" i="1"/>
  <c r="E18" i="1"/>
  <c r="H18" i="1" s="1"/>
  <c r="C19" i="1"/>
  <c r="D19" i="1"/>
  <c r="G19" i="1" s="1"/>
  <c r="F19" i="1" l="1"/>
  <c r="B20" i="1"/>
  <c r="E19" i="1"/>
  <c r="H19" i="1" s="1"/>
  <c r="C20" i="1"/>
  <c r="D20" i="1"/>
  <c r="G20" i="1" s="1"/>
  <c r="F20" i="1" l="1"/>
  <c r="B21" i="1"/>
  <c r="E21" i="1" s="1"/>
  <c r="E20" i="1"/>
  <c r="H20" i="1" s="1"/>
  <c r="C21" i="1"/>
  <c r="F21" i="1" s="1"/>
  <c r="D21" i="1"/>
  <c r="G21" i="1" s="1"/>
  <c r="H21" i="1" l="1"/>
</calcChain>
</file>

<file path=xl/sharedStrings.xml><?xml version="1.0" encoding="utf-8"?>
<sst xmlns="http://schemas.openxmlformats.org/spreadsheetml/2006/main" count="29" uniqueCount="19">
  <si>
    <t>3X1-X2+X3=1</t>
  </si>
  <si>
    <t>menjadi</t>
  </si>
  <si>
    <t>X1=1/3*(1+X2-X3)</t>
  </si>
  <si>
    <t>3X1+3X2+7X3=4</t>
  </si>
  <si>
    <t>3X1+6X2+2X3=0</t>
  </si>
  <si>
    <t>Metode Jacoby</t>
  </si>
  <si>
    <t>X2=1/6*(-3*X1-2*X3)</t>
  </si>
  <si>
    <t>X3=1/7*(4-3*X1-3*X2)</t>
  </si>
  <si>
    <t>Iterasi ke</t>
  </si>
  <si>
    <t>X1</t>
  </si>
  <si>
    <t>X2</t>
  </si>
  <si>
    <t>X3</t>
  </si>
  <si>
    <t>Error X1</t>
  </si>
  <si>
    <t>Error X2</t>
  </si>
  <si>
    <t>Error X3</t>
  </si>
  <si>
    <t>Max Error</t>
  </si>
  <si>
    <t>Error relatif</t>
  </si>
  <si>
    <t>N</t>
  </si>
  <si>
    <t>Metode Gauss Seidel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</si>
</sst>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1" applyNumberFormat="1" applyFon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5" fontId="2" fillId="2" borderId="1" xfId="1" applyNumberFormat="1" applyFont="1" applyFill="1" applyBorder="1"/>
    <xf numFmtId="0" fontId="3" fillId="3" borderId="1" xfId="0" applyFont="1" applyFill="1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E57C-A3F9-487F-8325-37EE4B3CB671}">
  <dimension ref="A1:H35"/>
  <sheetViews>
    <sheetView tabSelected="1" workbookViewId="0">
      <selection activeCell="G31" sqref="G31"/>
    </sheetView>
  </sheetViews>
  <sheetFormatPr defaultRowHeight="15.5" x14ac:dyDescent="0.35"/>
  <cols>
    <col min="1" max="1" width="17.08984375" style="1" bestFit="1" customWidth="1"/>
    <col min="2" max="2" width="8.90625" style="1" bestFit="1" customWidth="1"/>
    <col min="3" max="4" width="10.81640625" style="1" bestFit="1" customWidth="1"/>
    <col min="5" max="5" width="9.453125" style="1" bestFit="1" customWidth="1"/>
    <col min="6" max="6" width="11.1796875" style="1" bestFit="1" customWidth="1"/>
    <col min="7" max="7" width="9.7265625" style="1" bestFit="1" customWidth="1"/>
    <col min="8" max="8" width="11.1796875" style="1" bestFit="1" customWidth="1"/>
    <col min="9" max="16384" width="8.7265625" style="1"/>
  </cols>
  <sheetData>
    <row r="1" spans="1:8" x14ac:dyDescent="0.35">
      <c r="A1" s="1" t="s">
        <v>0</v>
      </c>
      <c r="B1" s="1" t="s">
        <v>1</v>
      </c>
      <c r="C1" s="10" t="s">
        <v>2</v>
      </c>
      <c r="D1" s="10"/>
      <c r="E1" s="10"/>
      <c r="F1" s="1" t="s">
        <v>16</v>
      </c>
      <c r="G1" s="2">
        <v>5.0000000000000001E-4</v>
      </c>
    </row>
    <row r="2" spans="1:8" x14ac:dyDescent="0.35">
      <c r="A2" s="1" t="s">
        <v>4</v>
      </c>
      <c r="B2" s="1" t="s">
        <v>1</v>
      </c>
      <c r="C2" s="10" t="s">
        <v>6</v>
      </c>
      <c r="D2" s="10"/>
      <c r="E2" s="10"/>
      <c r="F2" s="1" t="s">
        <v>17</v>
      </c>
      <c r="G2" s="1">
        <v>20</v>
      </c>
    </row>
    <row r="3" spans="1:8" x14ac:dyDescent="0.35">
      <c r="A3" s="1" t="s">
        <v>3</v>
      </c>
      <c r="B3" s="1" t="s">
        <v>1</v>
      </c>
      <c r="C3" s="10" t="s">
        <v>7</v>
      </c>
      <c r="D3" s="10"/>
      <c r="E3" s="10"/>
    </row>
    <row r="5" spans="1:8" x14ac:dyDescent="0.35">
      <c r="A5" s="1" t="s">
        <v>5</v>
      </c>
    </row>
    <row r="6" spans="1:8" x14ac:dyDescent="0.35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9" t="s">
        <v>15</v>
      </c>
    </row>
    <row r="7" spans="1:8" x14ac:dyDescent="0.35">
      <c r="A7" s="3">
        <v>0</v>
      </c>
      <c r="B7" s="3">
        <v>1</v>
      </c>
      <c r="C7" s="3">
        <v>3</v>
      </c>
      <c r="D7" s="3">
        <v>4</v>
      </c>
      <c r="E7" s="3"/>
      <c r="F7" s="3"/>
      <c r="G7" s="3"/>
      <c r="H7" s="3"/>
    </row>
    <row r="8" spans="1:8" x14ac:dyDescent="0.35">
      <c r="A8" s="3">
        <v>1</v>
      </c>
      <c r="B8" s="3">
        <f>1/3*(1+C7-D7)</f>
        <v>0</v>
      </c>
      <c r="C8" s="4">
        <f>1/6*(-3*B7-2*D7)</f>
        <v>-1.8333333333333333</v>
      </c>
      <c r="D8" s="4">
        <f>1/7*(4-3*B7-3*C7)</f>
        <v>-1.1428571428571428</v>
      </c>
      <c r="E8" s="3" t="e">
        <f>ABS((B8-B7)/B8)</f>
        <v>#DIV/0!</v>
      </c>
      <c r="F8" s="5">
        <f>ABS((C8-C7)/C8)</f>
        <v>2.6363636363636362</v>
      </c>
      <c r="G8" s="5">
        <f>ABS((D8-D7)/D8)</f>
        <v>4.5</v>
      </c>
      <c r="H8" s="3" t="e">
        <f>MAX(E8:G8)</f>
        <v>#DIV/0!</v>
      </c>
    </row>
    <row r="9" spans="1:8" x14ac:dyDescent="0.35">
      <c r="A9" s="3">
        <v>2</v>
      </c>
      <c r="B9" s="3">
        <f t="shared" ref="B9:B21" si="0">1/3*(1+C8-D8)</f>
        <v>0.10317460317460317</v>
      </c>
      <c r="C9" s="4">
        <f>1/6*(-3*B8-2*D8)</f>
        <v>0.38095238095238093</v>
      </c>
      <c r="D9" s="4">
        <f t="shared" ref="D9:D21" si="1">1/7*(4-3*B8-3*C8)</f>
        <v>1.357142857142857</v>
      </c>
      <c r="E9" s="3">
        <f t="shared" ref="E9:E21" si="2">ABS((B9-B8)/B9)</f>
        <v>1</v>
      </c>
      <c r="F9" s="5">
        <f t="shared" ref="F9:F21" si="3">ABS((C9-C8)/C9)</f>
        <v>5.8125000000000009</v>
      </c>
      <c r="G9" s="5">
        <f t="shared" ref="G9:G21" si="4">ABS((D9-D8)/D9)</f>
        <v>1.8421052631578949</v>
      </c>
      <c r="H9" s="5">
        <f t="shared" ref="H9:H21" si="5">MAX(E9:G9)</f>
        <v>5.8125000000000009</v>
      </c>
    </row>
    <row r="10" spans="1:8" x14ac:dyDescent="0.35">
      <c r="A10" s="3">
        <v>3</v>
      </c>
      <c r="B10" s="3">
        <f t="shared" si="0"/>
        <v>7.9365079365079812E-3</v>
      </c>
      <c r="C10" s="4">
        <f t="shared" ref="C10:C21" si="6">1/6*(-3*B9-2*D9)</f>
        <v>-0.50396825396825395</v>
      </c>
      <c r="D10" s="4">
        <f t="shared" si="1"/>
        <v>0.36394557823129253</v>
      </c>
      <c r="E10" s="3">
        <f t="shared" si="2"/>
        <v>11.999999999999927</v>
      </c>
      <c r="F10" s="5">
        <f t="shared" si="3"/>
        <v>1.7559055118110236</v>
      </c>
      <c r="G10" s="5">
        <f t="shared" si="4"/>
        <v>2.7289719626168218</v>
      </c>
      <c r="H10" s="5">
        <f t="shared" si="5"/>
        <v>11.999999999999927</v>
      </c>
    </row>
    <row r="11" spans="1:8" x14ac:dyDescent="0.35">
      <c r="A11" s="3">
        <v>4</v>
      </c>
      <c r="B11" s="3">
        <f t="shared" si="0"/>
        <v>4.4028722600151171E-2</v>
      </c>
      <c r="C11" s="4">
        <f t="shared" si="6"/>
        <v>-0.12528344671201816</v>
      </c>
      <c r="D11" s="4">
        <f t="shared" si="1"/>
        <v>0.7840136054421768</v>
      </c>
      <c r="E11" s="3">
        <f t="shared" si="2"/>
        <v>0.81974248927038529</v>
      </c>
      <c r="F11" s="5">
        <f t="shared" si="3"/>
        <v>3.0226244343891393</v>
      </c>
      <c r="G11" s="5">
        <f t="shared" si="4"/>
        <v>0.53579175704989146</v>
      </c>
      <c r="H11" s="5">
        <f t="shared" si="5"/>
        <v>3.0226244343891393</v>
      </c>
    </row>
    <row r="12" spans="1:8" x14ac:dyDescent="0.35">
      <c r="A12" s="3">
        <v>5</v>
      </c>
      <c r="B12" s="3">
        <f t="shared" si="0"/>
        <v>3.0234315948601671E-2</v>
      </c>
      <c r="C12" s="4">
        <f t="shared" si="6"/>
        <v>-0.28335222978080116</v>
      </c>
      <c r="D12" s="4">
        <f t="shared" si="1"/>
        <v>0.60625202461937144</v>
      </c>
      <c r="E12" s="3">
        <f t="shared" si="2"/>
        <v>0.4562499999999996</v>
      </c>
      <c r="F12" s="5">
        <f t="shared" si="3"/>
        <v>0.55785261753917958</v>
      </c>
      <c r="G12" s="5">
        <f t="shared" si="4"/>
        <v>0.29321399946566939</v>
      </c>
      <c r="H12" s="5">
        <f t="shared" si="5"/>
        <v>0.55785261753917958</v>
      </c>
    </row>
    <row r="13" spans="1:8" x14ac:dyDescent="0.35">
      <c r="A13" s="3">
        <v>6</v>
      </c>
      <c r="B13" s="3">
        <f t="shared" si="0"/>
        <v>3.6798581866609149E-2</v>
      </c>
      <c r="C13" s="4">
        <f t="shared" si="6"/>
        <v>-0.21720116618075797</v>
      </c>
      <c r="D13" s="4">
        <f>1/7*(4-3*B12-3*C12)</f>
        <v>0.67990767735665691</v>
      </c>
      <c r="E13" s="3">
        <f>ABS((B13-B12)/B13)</f>
        <v>0.17838366548477949</v>
      </c>
      <c r="F13" s="5">
        <f t="shared" si="3"/>
        <v>0.30456127268207811</v>
      </c>
      <c r="G13" s="5">
        <f t="shared" si="4"/>
        <v>0.10833184444047418</v>
      </c>
      <c r="H13" s="5">
        <f t="shared" si="5"/>
        <v>0.30456127268207811</v>
      </c>
    </row>
    <row r="14" spans="1:8" x14ac:dyDescent="0.35">
      <c r="A14" s="3">
        <v>7</v>
      </c>
      <c r="B14" s="3">
        <f t="shared" si="0"/>
        <v>3.4297052154195019E-2</v>
      </c>
      <c r="C14" s="4">
        <f t="shared" si="6"/>
        <v>-0.24503518338552355</v>
      </c>
      <c r="D14" s="4">
        <f t="shared" si="1"/>
        <v>0.64874396470606366</v>
      </c>
      <c r="E14" s="3">
        <f t="shared" si="2"/>
        <v>7.2937163846256606E-2</v>
      </c>
      <c r="F14" s="5">
        <f t="shared" si="3"/>
        <v>0.11359192104659199</v>
      </c>
      <c r="G14" s="5">
        <f t="shared" si="4"/>
        <v>4.8036998178030178E-2</v>
      </c>
      <c r="H14" s="5">
        <f t="shared" si="5"/>
        <v>0.11359192104659199</v>
      </c>
    </row>
    <row r="15" spans="1:8" x14ac:dyDescent="0.35">
      <c r="A15" s="3">
        <v>8</v>
      </c>
      <c r="B15" s="3">
        <f t="shared" si="0"/>
        <v>3.5406950636137594E-2</v>
      </c>
      <c r="C15" s="4">
        <f t="shared" si="6"/>
        <v>-0.23339651431245204</v>
      </c>
      <c r="D15" s="4">
        <f t="shared" si="1"/>
        <v>0.66174491338485497</v>
      </c>
      <c r="E15" s="3">
        <f t="shared" si="2"/>
        <v>3.1346909632194428E-2</v>
      </c>
      <c r="F15" s="5">
        <f t="shared" si="3"/>
        <v>4.9866507678390688E-2</v>
      </c>
      <c r="G15" s="5">
        <f t="shared" si="4"/>
        <v>1.9646465603023491E-2</v>
      </c>
      <c r="H15" s="5">
        <f t="shared" si="5"/>
        <v>4.9866507678390688E-2</v>
      </c>
    </row>
    <row r="16" spans="1:8" x14ac:dyDescent="0.35">
      <c r="A16" s="3">
        <v>9</v>
      </c>
      <c r="B16" s="3">
        <f t="shared" si="0"/>
        <v>3.4952857434231002E-2</v>
      </c>
      <c r="C16" s="4">
        <f t="shared" si="6"/>
        <v>-0.23828511311302042</v>
      </c>
      <c r="D16" s="4">
        <f t="shared" si="1"/>
        <v>0.65628124157556333</v>
      </c>
      <c r="E16" s="3">
        <f t="shared" si="2"/>
        <v>1.2991590251556263E-2</v>
      </c>
      <c r="F16" s="5">
        <f t="shared" si="3"/>
        <v>2.0515754159806384E-2</v>
      </c>
      <c r="G16" s="5">
        <f t="shared" si="4"/>
        <v>8.3251988068023374E-3</v>
      </c>
      <c r="H16" s="5">
        <f t="shared" si="5"/>
        <v>2.0515754159806384E-2</v>
      </c>
    </row>
    <row r="17" spans="1:8" x14ac:dyDescent="0.35">
      <c r="A17" s="3">
        <v>10</v>
      </c>
      <c r="B17" s="3">
        <f t="shared" si="0"/>
        <v>3.5144548437138767E-2</v>
      </c>
      <c r="C17" s="4">
        <f t="shared" si="6"/>
        <v>-0.2362368425756366</v>
      </c>
      <c r="D17" s="4">
        <f t="shared" si="1"/>
        <v>0.65857096671948112</v>
      </c>
      <c r="E17" s="3">
        <f t="shared" si="2"/>
        <v>5.4543595360353782E-3</v>
      </c>
      <c r="F17" s="5">
        <f t="shared" si="3"/>
        <v>8.6704110800499817E-3</v>
      </c>
      <c r="G17" s="5">
        <f t="shared" si="4"/>
        <v>3.4768085136268954E-3</v>
      </c>
      <c r="H17" s="5">
        <f t="shared" si="5"/>
        <v>8.6704110800499817E-3</v>
      </c>
    </row>
    <row r="18" spans="1:8" x14ac:dyDescent="0.35">
      <c r="A18" s="3">
        <v>11</v>
      </c>
      <c r="B18" s="3">
        <f t="shared" si="0"/>
        <v>3.5064063568294092E-2</v>
      </c>
      <c r="C18" s="4">
        <f t="shared" si="6"/>
        <v>-0.23709592979172972</v>
      </c>
      <c r="D18" s="4">
        <f t="shared" si="1"/>
        <v>0.65761098320221334</v>
      </c>
      <c r="E18" s="3">
        <f t="shared" si="2"/>
        <v>2.2953662711657913E-3</v>
      </c>
      <c r="F18" s="5">
        <f t="shared" si="3"/>
        <v>3.6233739518336107E-3</v>
      </c>
      <c r="G18" s="5">
        <f t="shared" si="4"/>
        <v>1.4598045680337881E-3</v>
      </c>
      <c r="H18" s="5">
        <f t="shared" si="5"/>
        <v>3.6233739518336107E-3</v>
      </c>
    </row>
    <row r="19" spans="1:8" x14ac:dyDescent="0.35">
      <c r="A19" s="3">
        <v>12</v>
      </c>
      <c r="B19" s="3">
        <f t="shared" si="0"/>
        <v>3.5097695668685661E-2</v>
      </c>
      <c r="C19" s="4">
        <f t="shared" si="6"/>
        <v>-0.23673569285155149</v>
      </c>
      <c r="D19" s="4">
        <f t="shared" si="1"/>
        <v>0.65801365695290093</v>
      </c>
      <c r="E19" s="3">
        <f t="shared" si="2"/>
        <v>9.5824240739472548E-4</v>
      </c>
      <c r="F19" s="5">
        <f t="shared" si="3"/>
        <v>1.521684101958037E-3</v>
      </c>
      <c r="G19" s="5">
        <f t="shared" si="4"/>
        <v>6.1195348520921378E-4</v>
      </c>
      <c r="H19" s="5">
        <f t="shared" si="5"/>
        <v>1.521684101958037E-3</v>
      </c>
    </row>
    <row r="20" spans="1:8" x14ac:dyDescent="0.35">
      <c r="A20" s="3">
        <v>13</v>
      </c>
      <c r="B20" s="3">
        <f t="shared" si="0"/>
        <v>3.5083550065182524E-2</v>
      </c>
      <c r="C20" s="4">
        <f t="shared" si="6"/>
        <v>-0.23688673348530978</v>
      </c>
      <c r="D20" s="4">
        <f t="shared" si="1"/>
        <v>0.65784485593551389</v>
      </c>
      <c r="E20" s="3">
        <f t="shared" si="2"/>
        <v>4.0319760904626372E-4</v>
      </c>
      <c r="F20" s="5">
        <f t="shared" si="3"/>
        <v>6.3760697585731876E-4</v>
      </c>
      <c r="G20" s="5">
        <f t="shared" si="4"/>
        <v>2.5659700135069447E-4</v>
      </c>
      <c r="H20" s="5">
        <f t="shared" si="5"/>
        <v>6.3760697585731876E-4</v>
      </c>
    </row>
    <row r="21" spans="1:8" x14ac:dyDescent="0.35">
      <c r="A21" s="6">
        <v>14</v>
      </c>
      <c r="B21" s="6">
        <f t="shared" si="0"/>
        <v>3.5089470193058782E-2</v>
      </c>
      <c r="C21" s="7">
        <f t="shared" si="6"/>
        <v>-0.23682339367776253</v>
      </c>
      <c r="D21" s="7">
        <f t="shared" si="1"/>
        <v>0.65791565003719743</v>
      </c>
      <c r="E21" s="6">
        <f t="shared" si="2"/>
        <v>1.687152254988683E-4</v>
      </c>
      <c r="F21" s="8">
        <f t="shared" si="3"/>
        <v>2.6745587318722066E-4</v>
      </c>
      <c r="G21" s="8">
        <f t="shared" si="4"/>
        <v>1.0760361404920682E-4</v>
      </c>
      <c r="H21" s="8">
        <f t="shared" si="5"/>
        <v>2.6745587318722066E-4</v>
      </c>
    </row>
    <row r="23" spans="1:8" x14ac:dyDescent="0.35">
      <c r="A23" s="1" t="s">
        <v>18</v>
      </c>
    </row>
    <row r="24" spans="1:8" x14ac:dyDescent="0.35">
      <c r="A24" s="9" t="s">
        <v>8</v>
      </c>
      <c r="B24" s="9" t="s">
        <v>9</v>
      </c>
      <c r="C24" s="9" t="s">
        <v>10</v>
      </c>
      <c r="D24" s="9" t="s">
        <v>11</v>
      </c>
      <c r="E24" s="9" t="s">
        <v>12</v>
      </c>
      <c r="F24" s="9" t="s">
        <v>13</v>
      </c>
      <c r="G24" s="9" t="s">
        <v>14</v>
      </c>
      <c r="H24" s="9" t="s">
        <v>15</v>
      </c>
    </row>
    <row r="25" spans="1:8" x14ac:dyDescent="0.35">
      <c r="A25" s="3">
        <v>0</v>
      </c>
      <c r="B25" s="3">
        <v>1</v>
      </c>
      <c r="C25" s="3">
        <v>3</v>
      </c>
      <c r="D25" s="3">
        <v>4</v>
      </c>
      <c r="E25" s="3"/>
      <c r="F25" s="3"/>
      <c r="G25" s="3"/>
      <c r="H25" s="3"/>
    </row>
    <row r="26" spans="1:8" x14ac:dyDescent="0.35">
      <c r="A26" s="3">
        <v>1</v>
      </c>
      <c r="B26" s="3">
        <f>1/3*(1+C25-D25)</f>
        <v>0</v>
      </c>
      <c r="C26" s="3">
        <f>1/6*(-3*B26-2*D25)</f>
        <v>-1.3333333333333333</v>
      </c>
      <c r="D26" s="3">
        <f>1/7*(4-3*B26-3*C26)</f>
        <v>1.1428571428571428</v>
      </c>
      <c r="E26" s="3" t="e">
        <f>ABS((B26-B25)/B26)</f>
        <v>#DIV/0!</v>
      </c>
      <c r="F26" s="5">
        <f>ABS((C26-C25)/C26)</f>
        <v>3.25</v>
      </c>
      <c r="G26" s="5">
        <f>ABS((D26-D25)/D26)</f>
        <v>2.5</v>
      </c>
      <c r="H26" s="3" t="e">
        <f>MAX(E26:G26)</f>
        <v>#DIV/0!</v>
      </c>
    </row>
    <row r="27" spans="1:8" x14ac:dyDescent="0.35">
      <c r="A27" s="3">
        <v>2</v>
      </c>
      <c r="B27" s="3">
        <f t="shared" ref="B27:B31" si="7">1/3*(1+C26-D26)</f>
        <v>-0.49206349206349198</v>
      </c>
      <c r="C27" s="3">
        <f t="shared" ref="C27:C35" si="8">1/6*(-3*B27-2*D26)</f>
        <v>-0.13492063492063494</v>
      </c>
      <c r="D27" s="3">
        <f t="shared" ref="D27:D31" si="9">1/7*(4-3*B27-3*C27)</f>
        <v>0.84013605442176875</v>
      </c>
      <c r="E27" s="3">
        <f t="shared" ref="E27:E31" si="10">ABS((B27-B26)/B27)</f>
        <v>1</v>
      </c>
      <c r="F27" s="5">
        <f t="shared" ref="F27:F31" si="11">ABS((C27-C26)/C27)</f>
        <v>8.8823529411764692</v>
      </c>
      <c r="G27" s="5">
        <f t="shared" ref="G27:G31" si="12">ABS((D27-D26)/D27)</f>
        <v>0.36032388663967596</v>
      </c>
      <c r="H27" s="5">
        <f t="shared" ref="H27:H31" si="13">MAX(E27:G27)</f>
        <v>8.8823529411764692</v>
      </c>
    </row>
    <row r="28" spans="1:8" x14ac:dyDescent="0.35">
      <c r="A28" s="3">
        <v>3</v>
      </c>
      <c r="B28" s="3">
        <f t="shared" si="7"/>
        <v>8.3144368858654536E-3</v>
      </c>
      <c r="C28" s="3">
        <f>1/6*(-3*B28-2*D27)</f>
        <v>-0.28420256991685561</v>
      </c>
      <c r="D28" s="3">
        <f t="shared" si="9"/>
        <v>0.68966634272756722</v>
      </c>
      <c r="E28" s="3">
        <f t="shared" si="10"/>
        <v>60.181818181818194</v>
      </c>
      <c r="F28" s="5">
        <f t="shared" si="11"/>
        <v>0.52526595744680837</v>
      </c>
      <c r="G28" s="5">
        <f t="shared" si="12"/>
        <v>0.21817754814466891</v>
      </c>
      <c r="H28" s="5">
        <f t="shared" si="13"/>
        <v>60.181818181818194</v>
      </c>
    </row>
    <row r="29" spans="1:8" x14ac:dyDescent="0.35">
      <c r="A29" s="3">
        <v>4</v>
      </c>
      <c r="B29" s="3">
        <f t="shared" si="7"/>
        <v>8.7103624518590772E-3</v>
      </c>
      <c r="C29" s="3">
        <f t="shared" si="8"/>
        <v>-0.23424396213511858</v>
      </c>
      <c r="D29" s="3">
        <f t="shared" si="9"/>
        <v>0.66808582843568254</v>
      </c>
      <c r="E29" s="3">
        <f t="shared" si="10"/>
        <v>4.5454545454548807E-2</v>
      </c>
      <c r="F29" s="5">
        <f>ABS((C29-C28)/C29)</f>
        <v>0.21327596803933618</v>
      </c>
      <c r="G29" s="5">
        <f t="shared" si="12"/>
        <v>3.23020087739554E-2</v>
      </c>
      <c r="H29" s="5">
        <f t="shared" si="13"/>
        <v>0.21327596803933618</v>
      </c>
    </row>
    <row r="30" spans="1:8" x14ac:dyDescent="0.35">
      <c r="A30" s="3">
        <v>5</v>
      </c>
      <c r="B30" s="3">
        <f t="shared" si="7"/>
        <v>3.2556736476399631E-2</v>
      </c>
      <c r="C30" s="3">
        <f t="shared" si="8"/>
        <v>-0.2389736443834273</v>
      </c>
      <c r="D30" s="3">
        <f>1/7*(4-3*B30-3*C30)</f>
        <v>0.65989296053158331</v>
      </c>
      <c r="E30" s="3">
        <f t="shared" si="10"/>
        <v>0.73245590944985484</v>
      </c>
      <c r="F30" s="5">
        <f t="shared" si="11"/>
        <v>1.9791647989098167E-2</v>
      </c>
      <c r="G30" s="5">
        <f t="shared" si="12"/>
        <v>1.2415449768549412E-2</v>
      </c>
      <c r="H30" s="5">
        <f t="shared" si="13"/>
        <v>0.73245590944985484</v>
      </c>
    </row>
    <row r="31" spans="1:8" x14ac:dyDescent="0.35">
      <c r="A31" s="3">
        <v>6</v>
      </c>
      <c r="B31" s="3">
        <f t="shared" si="7"/>
        <v>3.3711131694996468E-2</v>
      </c>
      <c r="C31" s="3">
        <f t="shared" si="8"/>
        <v>-0.23681988602469264</v>
      </c>
      <c r="D31" s="3">
        <f t="shared" si="9"/>
        <v>0.65847518042701259</v>
      </c>
      <c r="E31" s="3">
        <f t="shared" si="10"/>
        <v>3.424373969528223E-2</v>
      </c>
      <c r="F31" s="5">
        <f t="shared" si="11"/>
        <v>9.0944996000466433E-3</v>
      </c>
      <c r="G31" s="5">
        <f t="shared" si="12"/>
        <v>2.1531261112245851E-3</v>
      </c>
      <c r="H31" s="5">
        <f t="shared" si="13"/>
        <v>3.424373969528223E-2</v>
      </c>
    </row>
    <row r="32" spans="1:8" x14ac:dyDescent="0.35">
      <c r="A32" s="3">
        <v>7</v>
      </c>
      <c r="B32" s="3">
        <f>1/3*(1+C31-D31)</f>
        <v>3.4901644516098264E-2</v>
      </c>
      <c r="C32" s="3">
        <f>1/6*(-3*B32-2*D31)</f>
        <v>-0.23694254906705331</v>
      </c>
      <c r="D32" s="3">
        <f>1/7*(4-3*B32-3*C32)</f>
        <v>0.65801753052183798</v>
      </c>
      <c r="E32" s="3">
        <f>ABS((B32-B31)/B32)</f>
        <v>3.4110507903221447E-2</v>
      </c>
      <c r="F32" s="5">
        <f>ABS((C32-C31)/C32)</f>
        <v>5.1769107255595834E-4</v>
      </c>
      <c r="G32" s="5">
        <f>ABS((D32-D31)/D32)</f>
        <v>6.9549804366407844E-4</v>
      </c>
      <c r="H32" s="5">
        <f>MAX(E32:G32)</f>
        <v>3.4110507903221447E-2</v>
      </c>
    </row>
    <row r="33" spans="1:8" x14ac:dyDescent="0.35">
      <c r="A33" s="3">
        <v>8</v>
      </c>
      <c r="B33" s="3">
        <f t="shared" ref="B33" si="14">1/3*(1+C32-D32)</f>
        <v>3.5013306803702883E-2</v>
      </c>
      <c r="C33" s="3">
        <f t="shared" si="8"/>
        <v>-0.23684583024246408</v>
      </c>
      <c r="D33" s="3">
        <f t="shared" ref="D33" si="15">1/7*(4-3*B33-3*C33)</f>
        <v>0.65792822433089759</v>
      </c>
      <c r="E33" s="3">
        <f t="shared" ref="E33" si="16">ABS((B33-B32)/B33)</f>
        <v>3.1891385818151332E-3</v>
      </c>
      <c r="F33" s="5">
        <f t="shared" ref="F33" si="17">ABS((C33-C32)/C33)</f>
        <v>4.083619478975533E-4</v>
      </c>
      <c r="G33" s="5">
        <f t="shared" ref="G33" si="18">ABS((D33-D32)/D33)</f>
        <v>1.3573850100625915E-4</v>
      </c>
      <c r="H33" s="5">
        <f t="shared" ref="H33" si="19">MAX(E33:G33)</f>
        <v>3.1891385818151332E-3</v>
      </c>
    </row>
    <row r="34" spans="1:8" x14ac:dyDescent="0.35">
      <c r="A34" s="3">
        <v>9</v>
      </c>
      <c r="B34" s="3">
        <f t="shared" ref="B34:B35" si="20">1/3*(1+C33-D33)</f>
        <v>3.5075315142212772E-2</v>
      </c>
      <c r="C34" s="3">
        <f t="shared" si="8"/>
        <v>-0.23684706568140559</v>
      </c>
      <c r="D34" s="3">
        <f t="shared" ref="D34:D35" si="21">1/7*(4-3*B34-3*C34)</f>
        <v>0.65790217880251112</v>
      </c>
      <c r="E34" s="3">
        <f t="shared" ref="E34:E35" si="22">ABS((B34-B33)/B34)</f>
        <v>1.7678626195795084E-3</v>
      </c>
      <c r="F34" s="5">
        <f t="shared" ref="F34:F35" si="23">ABS((C34-C33)/C34)</f>
        <v>5.2161885052534096E-6</v>
      </c>
      <c r="G34" s="5">
        <f t="shared" ref="G34:G35" si="24">ABS((D34-D33)/D34)</f>
        <v>3.9588755328159686E-5</v>
      </c>
      <c r="H34" s="5">
        <f t="shared" ref="H34" si="25">MAX(E34:G34)</f>
        <v>1.7678626195795084E-3</v>
      </c>
    </row>
    <row r="35" spans="1:8" x14ac:dyDescent="0.35">
      <c r="A35" s="6">
        <v>10</v>
      </c>
      <c r="B35" s="6">
        <f t="shared" si="20"/>
        <v>3.5083585172027767E-2</v>
      </c>
      <c r="C35" s="6">
        <f t="shared" si="8"/>
        <v>-0.23684251885351759</v>
      </c>
      <c r="D35" s="6">
        <f t="shared" si="21"/>
        <v>0.6578966858634957</v>
      </c>
      <c r="E35" s="6">
        <f t="shared" si="22"/>
        <v>2.3572362329688965E-4</v>
      </c>
      <c r="F35" s="8">
        <f t="shared" si="23"/>
        <v>1.9197684224995245E-5</v>
      </c>
      <c r="G35" s="8">
        <f t="shared" si="24"/>
        <v>8.3492425686979626E-6</v>
      </c>
      <c r="H35" s="8">
        <f>MAX(E35:G35)</f>
        <v>2.3572362329688965E-4</v>
      </c>
    </row>
  </sheetData>
  <mergeCells count="3">
    <mergeCell ref="C1:E1"/>
    <mergeCell ref="C2:E2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Putri</cp:lastModifiedBy>
  <dcterms:created xsi:type="dcterms:W3CDTF">2026-04-23T02:54:43Z</dcterms:created>
  <dcterms:modified xsi:type="dcterms:W3CDTF">2026-05-23T07:37:41Z</dcterms:modified>
</cp:coreProperties>
</file>